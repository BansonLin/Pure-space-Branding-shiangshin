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需求追蹤" sheetId="1" state="visible" r:id="rId1"/>
    <sheet xmlns:r="http://schemas.openxmlformats.org/officeDocument/2006/relationships" name="檢查點" sheetId="2" state="visible" r:id="rId2"/>
    <sheet xmlns:r="http://schemas.openxmlformats.org/officeDocument/2006/relationships" name="二工盤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FFFFFF"/>
    </font>
    <font>
      <name val="Noto Sans CJK TC"/>
    </font>
    <font>
      <name val="Noto Sans CJK TC"/>
      <b val="1"/>
    </font>
  </fonts>
  <fills count="6">
    <fill>
      <patternFill/>
    </fill>
    <fill>
      <patternFill patternType="gray125"/>
    </fill>
    <fill>
      <patternFill patternType="solid">
        <fgColor rgb="002F6B5B"/>
      </patternFill>
    </fill>
    <fill>
      <patternFill patternType="solid">
        <fgColor rgb="00F8E5E2"/>
      </patternFill>
    </fill>
    <fill>
      <patternFill patternType="solid">
        <fgColor rgb="00FBF0DC"/>
      </patternFill>
    </fill>
    <fill>
      <patternFill patternType="solid">
        <fgColor rgb="00ECEFF0"/>
      </patternFill>
    </fill>
  </fills>
  <borders count="2">
    <border>
      <left/>
      <right/>
      <top/>
      <bottom/>
      <diagonal/>
    </border>
    <border>
      <left style="thin">
        <color rgb="00D8DDD9"/>
      </left>
      <right style="thin">
        <color rgb="00D8DDD9"/>
      </right>
      <top style="thin">
        <color rgb="00D8DDD9"/>
      </top>
      <bottom style="thin">
        <color rgb="00D8DD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2" customWidth="1" min="3" max="3"/>
    <col width="46" customWidth="1" min="4" max="4"/>
    <col width="26" customWidth="1" min="5" max="5"/>
    <col width="14" customWidth="1" min="6" max="6"/>
    <col width="20" customWidth="1" min="7" max="7"/>
    <col width="10" customWidth="1" min="8" max="8"/>
    <col width="12" customWidth="1" min="9" max="9"/>
    <col width="14" customWidth="1" min="10" max="10"/>
    <col width="24" customWidth="1" min="11" max="11"/>
  </cols>
  <sheetData>
    <row r="1">
      <c r="A1" s="1" t="inlineStr">
        <is>
          <t>#</t>
        </is>
      </c>
      <c r="B1" s="1" t="inlineStr">
        <is>
          <t>優先</t>
        </is>
      </c>
      <c r="C1" s="1" t="inlineStr">
        <is>
          <t>期限</t>
        </is>
      </c>
      <c r="D1" s="1" t="inlineStr">
        <is>
          <t>資料項目</t>
        </is>
      </c>
      <c r="E1" s="1" t="inlineStr">
        <is>
          <t>用途</t>
        </is>
      </c>
      <c r="F1" s="1" t="inlineStr">
        <is>
          <t>格式</t>
        </is>
      </c>
      <c r="G1" s="1" t="inlineStr">
        <is>
          <t>建商承接人</t>
        </is>
      </c>
      <c r="H1" s="1" t="inlineStr">
        <is>
          <t>狀態</t>
        </is>
      </c>
      <c r="I1" s="1" t="inlineStr">
        <is>
          <t>收件日</t>
        </is>
      </c>
      <c r="J1" s="1" t="inlineStr">
        <is>
          <t>璞域檢核人</t>
        </is>
      </c>
      <c r="K1" s="1" t="inlineStr">
        <is>
          <t>備註</t>
        </is>
      </c>
    </row>
    <row r="2">
      <c r="A2" s="2" t="n">
        <v>1</v>
      </c>
      <c r="B2" s="3" t="inlineStr">
        <is>
          <t>P1</t>
        </is>
      </c>
      <c r="C2" s="2" t="inlineStr">
        <is>
          <t>2026-11-13</t>
        </is>
      </c>
      <c r="D2" s="2" t="inlineStr">
        <is>
          <t>建照狀態（字號與核發日，或審查進度與預計核發日）</t>
        </is>
      </c>
      <c r="E2" s="2" t="inlineStr">
        <is>
          <t>決定 G1 法規閘門與 A／B 軌</t>
        </is>
      </c>
      <c r="F2" s="2" t="inlineStr">
        <is>
          <t>文件影本</t>
        </is>
      </c>
      <c r="G2" s="2" t="inlineStr">
        <is>
          <t>建商專案窗口</t>
        </is>
      </c>
      <c r="H2" s="2" t="inlineStr">
        <is>
          <t>未提供</t>
        </is>
      </c>
      <c r="I2" s="2" t="n"/>
      <c r="J2" s="2" t="inlineStr">
        <is>
          <t>璞域專案經理</t>
        </is>
      </c>
      <c r="K2" s="2" t="n"/>
    </row>
    <row r="3">
      <c r="A3" s="2" t="n">
        <v>2</v>
      </c>
      <c r="B3" s="3" t="inlineStr">
        <is>
          <t>P1</t>
        </is>
      </c>
      <c r="C3" s="2" t="inlineStr">
        <is>
          <t>2026-11-13</t>
        </is>
      </c>
      <c r="D3" s="2" t="inlineStr">
        <is>
          <t>最新版完整圖說（建築、結構、水電、消防、景觀）與變更紀錄</t>
        </is>
      </c>
      <c r="E3" s="2" t="inlineStr">
        <is>
          <t>確認本次解析圖檔是否為最終版</t>
        </is>
      </c>
      <c r="F3" s="2" t="inlineStr">
        <is>
          <t>DWG＋PDF</t>
        </is>
      </c>
      <c r="G3" s="2" t="inlineStr">
        <is>
          <t>建築師事務所</t>
        </is>
      </c>
      <c r="H3" s="2" t="inlineStr">
        <is>
          <t>未提供</t>
        </is>
      </c>
      <c r="I3" s="2" t="n"/>
      <c r="J3" s="2" t="inlineStr">
        <is>
          <t>璞域專案經理</t>
        </is>
      </c>
      <c r="K3" s="2" t="n"/>
    </row>
    <row r="4">
      <c r="A4" s="2" t="n">
        <v>3</v>
      </c>
      <c r="B4" s="3" t="inlineStr">
        <is>
          <t>P1</t>
        </is>
      </c>
      <c r="C4" s="2" t="inlineStr">
        <is>
          <t>2026-11-13</t>
        </is>
      </c>
      <c r="D4" s="2" t="inlineStr">
        <is>
          <t>面積分配表（主建物／附屬建物／共有部分／車位）</t>
        </is>
      </c>
      <c r="E4" s="2" t="inlineStr">
        <is>
          <t>權狀坪、公設比、車位坪數定案</t>
        </is>
      </c>
      <c r="F4" s="2" t="inlineStr">
        <is>
          <t>試算表</t>
        </is>
      </c>
      <c r="G4" s="2" t="inlineStr">
        <is>
          <t>建商專案窗口＋建築師</t>
        </is>
      </c>
      <c r="H4" s="2" t="inlineStr">
        <is>
          <t>未提供</t>
        </is>
      </c>
      <c r="I4" s="2" t="n"/>
      <c r="J4" s="2" t="inlineStr">
        <is>
          <t>璞域專案經理</t>
        </is>
      </c>
      <c r="K4" s="2" t="n"/>
    </row>
    <row r="5">
      <c r="A5" s="2" t="n">
        <v>4</v>
      </c>
      <c r="B5" s="3" t="inlineStr">
        <is>
          <t>P1</t>
        </is>
      </c>
      <c r="C5" s="2" t="inlineStr">
        <is>
          <t>2026-11-13</t>
        </is>
      </c>
      <c r="D5" s="2" t="inlineStr">
        <is>
          <t>土地謄本與合作架構（向信／瓏翔分工、簽約主體、決策權）</t>
        </is>
      </c>
      <c r="E5" s="2" t="inlineStr">
        <is>
          <t>確認簽約主體與核決流程</t>
        </is>
      </c>
      <c r="F5" s="2" t="inlineStr">
        <is>
          <t>文件</t>
        </is>
      </c>
      <c r="G5" s="2" t="inlineStr">
        <is>
          <t>建商負責人</t>
        </is>
      </c>
      <c r="H5" s="2" t="inlineStr">
        <is>
          <t>未提供</t>
        </is>
      </c>
      <c r="I5" s="2" t="n"/>
      <c r="J5" s="2" t="inlineStr">
        <is>
          <t>璞域專案經理</t>
        </is>
      </c>
      <c r="K5" s="2" t="n"/>
    </row>
    <row r="6">
      <c r="A6" s="2" t="n">
        <v>5</v>
      </c>
      <c r="B6" s="3" t="inlineStr">
        <is>
          <t>P1</t>
        </is>
      </c>
      <c r="C6" s="2" t="inlineStr">
        <is>
          <t>2026-11-13</t>
        </is>
      </c>
      <c r="D6" s="2" t="inlineStr">
        <is>
          <t>二工規劃清單與意圖（屋突公設、1F 大廳、B1 洗衣間、2F 露台、B2 陽台）</t>
        </is>
      </c>
      <c r="E6" s="2" t="inlineStr">
        <is>
          <t>合規切割與公設賣點策略</t>
        </is>
      </c>
      <c r="F6" s="2" t="inlineStr">
        <is>
          <t>清單＋圖</t>
        </is>
      </c>
      <c r="G6" s="2" t="inlineStr">
        <is>
          <t>建商負責人＋建築師</t>
        </is>
      </c>
      <c r="H6" s="2" t="inlineStr">
        <is>
          <t>未提供</t>
        </is>
      </c>
      <c r="I6" s="2" t="n"/>
      <c r="J6" s="2" t="inlineStr">
        <is>
          <t>璞域專案經理</t>
        </is>
      </c>
      <c r="K6" s="2" t="n"/>
    </row>
    <row r="7">
      <c r="A7" s="2" t="n">
        <v>6</v>
      </c>
      <c r="B7" s="3" t="inlineStr">
        <is>
          <t>P1</t>
        </is>
      </c>
      <c r="C7" s="2" t="inlineStr">
        <is>
          <t>2026-11-13</t>
        </is>
      </c>
      <c r="D7" s="2" t="inlineStr">
        <is>
          <t>營建計畫（營造廠、預計開工日、工期、工程款節點）</t>
        </is>
      </c>
      <c r="E7" s="2" t="inlineStr">
        <is>
          <t>續銷節奏與付款條件設計</t>
        </is>
      </c>
      <c r="F7" s="2" t="inlineStr">
        <is>
          <t>時程表</t>
        </is>
      </c>
      <c r="G7" s="2" t="inlineStr">
        <is>
          <t>建商工務主管</t>
        </is>
      </c>
      <c r="H7" s="2" t="inlineStr">
        <is>
          <t>未提供</t>
        </is>
      </c>
      <c r="I7" s="2" t="n"/>
      <c r="J7" s="2" t="inlineStr">
        <is>
          <t>璞域專案經理</t>
        </is>
      </c>
      <c r="K7" s="2" t="n"/>
    </row>
    <row r="8">
      <c r="A8" s="2" t="n">
        <v>7</v>
      </c>
      <c r="B8" s="3" t="inlineStr">
        <is>
          <t>P1</t>
        </is>
      </c>
      <c r="C8" s="2" t="inlineStr">
        <is>
          <t>2026-11-13</t>
        </is>
      </c>
      <c r="D8" s="2" t="inlineStr">
        <is>
          <t>價格與財務目標（目標總銷、底價區間、車位價格、銷售預算）</t>
        </is>
      </c>
      <c r="E8" s="2" t="inlineStr">
        <is>
          <t>價格策略與預算配置</t>
        </is>
      </c>
      <c r="F8" s="2" t="inlineStr">
        <is>
          <t>簡表</t>
        </is>
      </c>
      <c r="G8" s="2" t="inlineStr">
        <is>
          <t>建商負責人</t>
        </is>
      </c>
      <c r="H8" s="2" t="inlineStr">
        <is>
          <t>未提供</t>
        </is>
      </c>
      <c r="I8" s="2" t="n"/>
      <c r="J8" s="2" t="inlineStr">
        <is>
          <t>璞域專案經理</t>
        </is>
      </c>
      <c r="K8" s="2" t="n"/>
    </row>
    <row r="9">
      <c r="A9" s="2" t="n">
        <v>8</v>
      </c>
      <c r="B9" s="3" t="inlineStr">
        <is>
          <t>P1</t>
        </is>
      </c>
      <c r="C9" s="2" t="inlineStr">
        <is>
          <t>2026-11-13</t>
        </is>
      </c>
      <c r="D9" s="2" t="inlineStr">
        <is>
          <t>銷售模式（自售或委託代銷）與接待中心預定地</t>
        </is>
      </c>
      <c r="E9" s="2" t="inlineStr">
        <is>
          <t>分工與接待中心規劃</t>
        </is>
      </c>
      <c r="F9" s="2" t="inlineStr">
        <is>
          <t>說明</t>
        </is>
      </c>
      <c r="G9" s="2" t="inlineStr">
        <is>
          <t>建商負責人</t>
        </is>
      </c>
      <c r="H9" s="2" t="inlineStr">
        <is>
          <t>未提供</t>
        </is>
      </c>
      <c r="I9" s="2" t="n"/>
      <c r="J9" s="2" t="inlineStr">
        <is>
          <t>璞域專案經理</t>
        </is>
      </c>
      <c r="K9" s="2" t="n"/>
    </row>
    <row r="10">
      <c r="A10" s="2" t="n">
        <v>9</v>
      </c>
      <c r="B10" s="4" t="inlineStr">
        <is>
          <t>P2</t>
        </is>
      </c>
      <c r="C10" s="2" t="inlineStr">
        <is>
          <t>2026-11-27</t>
        </is>
      </c>
      <c r="D10" s="2" t="inlineStr">
        <is>
          <t>建材設備表（外牆、門窗玻璃、廚具、衛浴、地坪、空調、電梯、弱電／智能）</t>
        </is>
      </c>
      <c r="E10" s="2" t="inlineStr">
        <is>
          <t>說明書、樣品屋、銷售話術</t>
        </is>
      </c>
      <c r="F10" s="2" t="inlineStr">
        <is>
          <t>試算表／型錄</t>
        </is>
      </c>
      <c r="G10" s="2" t="inlineStr">
        <is>
          <t>建商工務主管</t>
        </is>
      </c>
      <c r="H10" s="2" t="inlineStr">
        <is>
          <t>未提供</t>
        </is>
      </c>
      <c r="I10" s="2" t="n"/>
      <c r="J10" s="2" t="inlineStr">
        <is>
          <t>璞域專案經理</t>
        </is>
      </c>
      <c r="K10" s="2" t="n"/>
    </row>
    <row r="11">
      <c r="A11" s="2" t="n">
        <v>10</v>
      </c>
      <c r="B11" s="4" t="inlineStr">
        <is>
          <t>P2</t>
        </is>
      </c>
      <c r="C11" s="2" t="inlineStr">
        <is>
          <t>2026-11-27</t>
        </is>
      </c>
      <c r="D11" s="2" t="inlineStr">
        <is>
          <t>建築 3D 模型與外觀材料樣板（清水模、木色格柵、塗料色號）</t>
        </is>
      </c>
      <c r="E11" s="2" t="inlineStr">
        <is>
          <t>3D 示意圖與影片</t>
        </is>
      </c>
      <c r="F11" s="2" t="inlineStr">
        <is>
          <t>SKP／RVT／實樣</t>
        </is>
      </c>
      <c r="G11" s="2" t="inlineStr">
        <is>
          <t>建築師事務所</t>
        </is>
      </c>
      <c r="H11" s="2" t="inlineStr">
        <is>
          <t>未提供</t>
        </is>
      </c>
      <c r="I11" s="2" t="n"/>
      <c r="J11" s="2" t="inlineStr">
        <is>
          <t>璞域專案經理</t>
        </is>
      </c>
      <c r="K11" s="2" t="n"/>
    </row>
    <row r="12">
      <c r="A12" s="2" t="n">
        <v>11</v>
      </c>
      <c r="B12" s="4" t="inlineStr">
        <is>
          <t>P2</t>
        </is>
      </c>
      <c r="C12" s="2" t="inlineStr">
        <is>
          <t>2026-11-27</t>
        </is>
      </c>
      <c r="D12" s="2" t="inlineStr">
        <is>
          <t>景觀與照明設計（前庭、入口、21 株喬木）</t>
        </is>
      </c>
      <c r="E12" s="2" t="inlineStr">
        <is>
          <t>前庭賣點視覺化</t>
        </is>
      </c>
      <c r="F12" s="2" t="inlineStr">
        <is>
          <t>圖說</t>
        </is>
      </c>
      <c r="G12" s="2" t="inlineStr">
        <is>
          <t>建築師／景觀設計</t>
        </is>
      </c>
      <c r="H12" s="2" t="inlineStr">
        <is>
          <t>未提供</t>
        </is>
      </c>
      <c r="I12" s="2" t="n"/>
      <c r="J12" s="2" t="inlineStr">
        <is>
          <t>璞域專案經理</t>
        </is>
      </c>
      <c r="K12" s="2" t="n"/>
    </row>
    <row r="13">
      <c r="A13" s="2" t="n">
        <v>12</v>
      </c>
      <c r="B13" s="4" t="inlineStr">
        <is>
          <t>P2</t>
        </is>
      </c>
      <c r="C13" s="2" t="inlineStr">
        <is>
          <t>2026-11-27</t>
        </is>
      </c>
      <c r="D13" s="2" t="inlineStr">
        <is>
          <t>公設與管理規劃（管委會空間用途、物業保全、管理費預估、垃圾處理）</t>
        </is>
      </c>
      <c r="E13" s="2" t="inlineStr">
        <is>
          <t>生活服務說明</t>
        </is>
      </c>
      <c r="F13" s="2" t="inlineStr">
        <is>
          <t>說明</t>
        </is>
      </c>
      <c r="G13" s="2" t="inlineStr">
        <is>
          <t>建商專案窗口</t>
        </is>
      </c>
      <c r="H13" s="2" t="inlineStr">
        <is>
          <t>未提供</t>
        </is>
      </c>
      <c r="I13" s="2" t="n"/>
      <c r="J13" s="2" t="inlineStr">
        <is>
          <t>璞域專案經理</t>
        </is>
      </c>
      <c r="K13" s="2" t="n"/>
    </row>
    <row r="14">
      <c r="A14" s="2" t="n">
        <v>13</v>
      </c>
      <c r="B14" s="4" t="inlineStr">
        <is>
          <t>P2</t>
        </is>
      </c>
      <c r="C14" s="2" t="inlineStr">
        <is>
          <t>2026-11-27</t>
        </is>
      </c>
      <c r="D14" s="2" t="inlineStr">
        <is>
          <t>車位配置與分配原則（大小車位、無障礙位、機車位有無）</t>
        </is>
      </c>
      <c r="E14" s="2" t="inlineStr">
        <is>
          <t>車位定價與綁售策略</t>
        </is>
      </c>
      <c r="F14" s="2" t="inlineStr">
        <is>
          <t>圖＋表</t>
        </is>
      </c>
      <c r="G14" s="2" t="inlineStr">
        <is>
          <t>建商專案窗口</t>
        </is>
      </c>
      <c r="H14" s="2" t="inlineStr">
        <is>
          <t>未提供</t>
        </is>
      </c>
      <c r="I14" s="2" t="n"/>
      <c r="J14" s="2" t="inlineStr">
        <is>
          <t>璞域專案經理</t>
        </is>
      </c>
      <c r="K14" s="2" t="n"/>
    </row>
    <row r="15">
      <c r="A15" s="2" t="n">
        <v>14</v>
      </c>
      <c r="B15" s="4" t="inlineStr">
        <is>
          <t>P2</t>
        </is>
      </c>
      <c r="C15" s="2" t="inlineStr">
        <is>
          <t>2026-11-27</t>
        </is>
      </c>
      <c r="D15" s="2" t="inlineStr">
        <is>
          <t>地質鑽探、地質改良與結構系統摘要</t>
        </is>
      </c>
      <c r="E15" s="2" t="inlineStr">
        <is>
          <t>結構安全說明素材</t>
        </is>
      </c>
      <c r="F15" s="2" t="inlineStr">
        <is>
          <t>報告摘要</t>
        </is>
      </c>
      <c r="G15" s="2" t="inlineStr">
        <is>
          <t>建商工務主管＋結構技師</t>
        </is>
      </c>
      <c r="H15" s="2" t="inlineStr">
        <is>
          <t>未提供</t>
        </is>
      </c>
      <c r="I15" s="2" t="n"/>
      <c r="J15" s="2" t="inlineStr">
        <is>
          <t>璞域專案經理</t>
        </is>
      </c>
      <c r="K15" s="2" t="n"/>
    </row>
    <row r="16">
      <c r="A16" s="2" t="n">
        <v>15</v>
      </c>
      <c r="B16" s="4" t="inlineStr">
        <is>
          <t>P2</t>
        </is>
      </c>
      <c r="C16" s="2" t="inlineStr">
        <is>
          <t>2026-11-27</t>
        </is>
      </c>
      <c r="D16" s="2" t="inlineStr">
        <is>
          <t>起造人品牌資料（公司簡介、過往實績、LOGO）</t>
        </is>
      </c>
      <c r="E16" s="2" t="inlineStr">
        <is>
          <t>品牌信任背書</t>
        </is>
      </c>
      <c r="F16" s="2" t="inlineStr">
        <is>
          <t>檔案</t>
        </is>
      </c>
      <c r="G16" s="2" t="inlineStr">
        <is>
          <t>建商專案窗口</t>
        </is>
      </c>
      <c r="H16" s="2" t="inlineStr">
        <is>
          <t>未提供</t>
        </is>
      </c>
      <c r="I16" s="2" t="n"/>
      <c r="J16" s="2" t="inlineStr">
        <is>
          <t>璞域專案經理</t>
        </is>
      </c>
      <c r="K16" s="2" t="n"/>
    </row>
    <row r="17">
      <c r="A17" s="2" t="n">
        <v>16</v>
      </c>
      <c r="B17" s="4" t="inlineStr">
        <is>
          <t>P2</t>
        </is>
      </c>
      <c r="C17" s="2" t="inlineStr">
        <is>
          <t>2026-11-27</t>
        </is>
      </c>
      <c r="D17" s="2" t="inlineStr">
        <is>
          <t>既有名單與在地通路（舊客、地主、合作仲介）</t>
        </is>
      </c>
      <c r="E17" s="2" t="inlineStr">
        <is>
          <t>潛銷名單（依個資法取得同意）</t>
        </is>
      </c>
      <c r="F17" s="2" t="inlineStr">
        <is>
          <t>名單</t>
        </is>
      </c>
      <c r="G17" s="2" t="inlineStr">
        <is>
          <t>建商負責人</t>
        </is>
      </c>
      <c r="H17" s="2" t="inlineStr">
        <is>
          <t>未提供</t>
        </is>
      </c>
      <c r="I17" s="2" t="n"/>
      <c r="J17" s="2" t="inlineStr">
        <is>
          <t>璞域專案經理</t>
        </is>
      </c>
      <c r="K17" s="2" t="n"/>
    </row>
    <row r="18">
      <c r="A18" s="2" t="n">
        <v>17</v>
      </c>
      <c r="B18" s="5" t="inlineStr">
        <is>
          <t>P3</t>
        </is>
      </c>
      <c r="C18" s="2" t="inlineStr">
        <is>
          <t>2027-01-08</t>
        </is>
      </c>
      <c r="D18" s="2" t="inlineStr">
        <is>
          <t>預售屋買賣契約草案與履約保證方式</t>
        </is>
      </c>
      <c r="E18" s="2" t="inlineStr">
        <is>
          <t>備查文件與說明書一致</t>
        </is>
      </c>
      <c r="F18" s="2" t="inlineStr">
        <is>
          <t>文件檔</t>
        </is>
      </c>
      <c r="G18" s="2" t="inlineStr">
        <is>
          <t>建商法務／地政士</t>
        </is>
      </c>
      <c r="H18" s="2" t="inlineStr">
        <is>
          <t>未提供</t>
        </is>
      </c>
      <c r="I18" s="2" t="n"/>
      <c r="J18" s="2" t="inlineStr">
        <is>
          <t>璞域專案經理</t>
        </is>
      </c>
      <c r="K18" s="2" t="n"/>
    </row>
    <row r="19">
      <c r="A19" s="2" t="n">
        <v>18</v>
      </c>
      <c r="B19" s="5" t="inlineStr">
        <is>
          <t>P3</t>
        </is>
      </c>
      <c r="C19" s="2" t="inlineStr">
        <is>
          <t>2027-01-08</t>
        </is>
      </c>
      <c r="D19" s="2" t="inlineStr">
        <is>
          <t>付款辦法（訂金、簽約金、工程期款、交屋款）</t>
        </is>
      </c>
      <c r="E19" s="2" t="inlineStr">
        <is>
          <t>價目表與付款試算</t>
        </is>
      </c>
      <c r="F19" s="2" t="inlineStr">
        <is>
          <t>表格</t>
        </is>
      </c>
      <c r="G19" s="2" t="inlineStr">
        <is>
          <t>建商負責人</t>
        </is>
      </c>
      <c r="H19" s="2" t="inlineStr">
        <is>
          <t>未提供</t>
        </is>
      </c>
      <c r="I19" s="2" t="n"/>
      <c r="J19" s="2" t="inlineStr">
        <is>
          <t>璞域專案經理</t>
        </is>
      </c>
      <c r="K19" s="2" t="n"/>
    </row>
    <row r="20">
      <c r="A20" s="2" t="n">
        <v>19</v>
      </c>
      <c r="B20" s="5" t="inlineStr">
        <is>
          <t>P3</t>
        </is>
      </c>
      <c r="C20" s="2" t="inlineStr">
        <is>
          <t>2027-01-08</t>
        </is>
      </c>
      <c r="D20" s="2" t="inlineStr">
        <is>
          <t>交屋標準與保固條款（結構、防水、設備）</t>
        </is>
      </c>
      <c r="E20" s="2" t="inlineStr">
        <is>
          <t>說明書保固用語合規</t>
        </is>
      </c>
      <c r="F20" s="2" t="inlineStr">
        <is>
          <t>文件</t>
        </is>
      </c>
      <c r="G20" s="2" t="inlineStr">
        <is>
          <t>建商工務主管</t>
        </is>
      </c>
      <c r="H20" s="2" t="inlineStr">
        <is>
          <t>未提供</t>
        </is>
      </c>
      <c r="I20" s="2" t="n"/>
      <c r="J20" s="2" t="inlineStr">
        <is>
          <t>璞域專案經理</t>
        </is>
      </c>
      <c r="K20" s="2" t="n"/>
    </row>
    <row r="21">
      <c r="A21" s="2" t="n">
        <v>20</v>
      </c>
      <c r="B21" s="5" t="inlineStr">
        <is>
          <t>P3</t>
        </is>
      </c>
      <c r="C21" s="2" t="inlineStr">
        <is>
          <t>2027-01-08</t>
        </is>
      </c>
      <c r="D21" s="2" t="inlineStr">
        <is>
          <t>客變規則（範圍、截止點、費用）</t>
        </is>
      </c>
      <c r="E21" s="2" t="inlineStr">
        <is>
          <t>客變說明與銷售話術</t>
        </is>
      </c>
      <c r="F21" s="2" t="inlineStr">
        <is>
          <t>文件</t>
        </is>
      </c>
      <c r="G21" s="2" t="inlineStr">
        <is>
          <t>建商工務主管</t>
        </is>
      </c>
      <c r="H21" s="2" t="inlineStr">
        <is>
          <t>未提供</t>
        </is>
      </c>
      <c r="I21" s="2" t="n"/>
      <c r="J21" s="2" t="inlineStr">
        <is>
          <t>璞域專案經理</t>
        </is>
      </c>
      <c r="K21" s="2" t="n"/>
    </row>
    <row r="22">
      <c r="A22" s="2" t="n">
        <v>21</v>
      </c>
      <c r="B22" s="5" t="inlineStr">
        <is>
          <t>P3</t>
        </is>
      </c>
      <c r="C22" s="2" t="inlineStr">
        <is>
          <t>2027-01-08</t>
        </is>
      </c>
      <c r="D22" s="2" t="inlineStr">
        <is>
          <t>鄰地與周邊資訊（30M 道路標註、鄰地開發、嫌惡設施）</t>
        </is>
      </c>
      <c r="E22" s="2" t="inlineStr">
        <is>
          <t>區位風險揭露</t>
        </is>
      </c>
      <c r="F22" s="2" t="inlineStr">
        <is>
          <t>說明</t>
        </is>
      </c>
      <c r="G22" s="2" t="inlineStr">
        <is>
          <t>建商專案窗口</t>
        </is>
      </c>
      <c r="H22" s="2" t="inlineStr">
        <is>
          <t>未提供</t>
        </is>
      </c>
      <c r="I22" s="2" t="n"/>
      <c r="J22" s="2" t="inlineStr">
        <is>
          <t>璞域專案經理</t>
        </is>
      </c>
      <c r="K22" s="2" t="n"/>
    </row>
    <row r="24">
      <c r="A24" t="inlineStr"/>
      <c r="B24" t="inlineStr"/>
      <c r="C24" t="inlineStr"/>
      <c r="D24" s="6" t="inlineStr">
        <is>
          <t>P1 到位率（CP0 門檻 80%）</t>
        </is>
      </c>
      <c r="E24" s="7">
        <f>COUNTIFS(B2:B22,"P1",H2:H22,"已提供")/COUNTIF(B2:B22,"P1")</f>
        <v/>
      </c>
    </row>
  </sheetData>
  <dataValidations count="1">
    <dataValidation sqref="H2:H22" showDropDown="0" showInputMessage="0" showErrorMessage="0" allowBlank="0" type="list">
      <formula1>"未提供,部分提供,已提供,不適用"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0" customWidth="1" min="3" max="3"/>
    <col width="30" customWidth="1" min="4" max="4"/>
    <col width="24" customWidth="1" min="5" max="5"/>
    <col width="10" customWidth="1" min="6" max="6"/>
    <col width="12" customWidth="1" min="7" max="7"/>
    <col width="24" customWidth="1" min="8" max="8"/>
  </cols>
  <sheetData>
    <row r="1">
      <c r="A1" s="1" t="inlineStr">
        <is>
          <t>檢查點</t>
        </is>
      </c>
      <c r="B1" s="1" t="inlineStr">
        <is>
          <t>預定時間</t>
        </is>
      </c>
      <c r="C1" s="1" t="inlineStr">
        <is>
          <t>通過條件</t>
        </is>
      </c>
      <c r="D1" s="1" t="inlineStr">
        <is>
          <t>未通過的動作</t>
        </is>
      </c>
      <c r="E1" s="1" t="inlineStr">
        <is>
          <t>承接人</t>
        </is>
      </c>
      <c r="F1" s="1" t="inlineStr">
        <is>
          <t>結果</t>
        </is>
      </c>
      <c r="G1" s="1" t="inlineStr">
        <is>
          <t>日期</t>
        </is>
      </c>
      <c r="H1" s="1" t="inlineStr">
        <is>
          <t>備註</t>
        </is>
      </c>
    </row>
    <row r="2">
      <c r="A2" s="2" t="inlineStr">
        <is>
          <t>CP0 資料到位</t>
        </is>
      </c>
      <c r="B2" s="2" t="inlineStr">
        <is>
          <t>2026-11-15</t>
        </is>
      </c>
      <c r="C2" s="2" t="inlineStr">
        <is>
          <t>P1 資料到位 ≥ 80%</t>
        </is>
      </c>
      <c r="D2" s="2" t="inlineStr">
        <is>
          <t>暫停 Phase 1 以外工作，重排時程</t>
        </is>
      </c>
      <c r="E2" s="2" t="inlineStr">
        <is>
          <t>璞域專案經理</t>
        </is>
      </c>
      <c r="F2" s="2" t="n"/>
      <c r="G2" s="2" t="n"/>
      <c r="H2" s="2" t="n"/>
    </row>
    <row r="3">
      <c r="A3" s="2" t="inlineStr">
        <is>
          <t>CP1 定位定價共識</t>
        </is>
      </c>
      <c r="B3" s="2" t="inlineStr">
        <is>
          <t>2026-12-13</t>
        </is>
      </c>
      <c r="C3" s="2" t="inlineStr">
        <is>
          <t>客群、產品組合、價格區間書面確認</t>
        </is>
      </c>
      <c r="D3" s="2" t="inlineStr">
        <is>
          <t>視覺製作延後開工</t>
        </is>
      </c>
      <c r="E3" s="2" t="inlineStr">
        <is>
          <t>建商負責人＋璞域企劃總監</t>
        </is>
      </c>
      <c r="F3" s="2" t="n"/>
      <c r="G3" s="2" t="n"/>
      <c r="H3" s="2" t="n"/>
    </row>
    <row r="4">
      <c r="A4" s="2" t="inlineStr">
        <is>
          <t>G1 法規閘門</t>
        </is>
      </c>
      <c r="B4" s="2" t="inlineStr">
        <is>
          <t>2027-01-22</t>
        </is>
      </c>
      <c r="C4" s="2" t="inlineStr">
        <is>
          <t>建照核發＋預售契約與建案資訊備查（委託代銷另需代銷備查）</t>
        </is>
      </c>
      <c r="D4" s="2" t="inlineStr">
        <is>
          <t>不得刊登任何廣告、不收訂</t>
        </is>
      </c>
      <c r="E4" s="2" t="inlineStr">
        <is>
          <t>建商法務／地政士</t>
        </is>
      </c>
      <c r="F4" s="2" t="n"/>
      <c r="G4" s="2" t="n"/>
      <c r="H4" s="2" t="n"/>
    </row>
    <row r="5">
      <c r="A5" s="2" t="inlineStr">
        <is>
          <t>CP3 潛銷檢查</t>
        </is>
      </c>
      <c r="B5" s="2" t="inlineStr">
        <is>
          <t>潛銷第 4 週</t>
        </is>
      </c>
      <c r="C5" s="2" t="inlineStr">
        <is>
          <t>有效來客 ≥ 100 組、意向登記 ≥ 25 組（示意）</t>
        </is>
      </c>
      <c r="D5" s="2" t="inlineStr">
        <is>
          <t>調整價格帶、付款條件或主打戶型</t>
        </is>
      </c>
      <c r="E5" s="2" t="inlineStr">
        <is>
          <t>璞域企劃總監</t>
        </is>
      </c>
      <c r="F5" s="2" t="n"/>
      <c r="G5" s="2" t="n"/>
      <c r="H5" s="2" t="n"/>
    </row>
    <row r="6">
      <c r="A6" s="2" t="inlineStr">
        <is>
          <t>CP4 公開檢查</t>
        </is>
      </c>
      <c r="B6" s="2" t="inlineStr">
        <is>
          <t>公開第 8 週</t>
        </is>
      </c>
      <c r="C6" s="2" t="inlineStr">
        <is>
          <t>成交 ≥ 13 戶，30%（示意）</t>
        </is>
      </c>
      <c r="D6" s="2" t="inlineStr">
        <is>
          <t>啟動價格與通路檢討</t>
        </is>
      </c>
      <c r="E6" s="2" t="inlineStr">
        <is>
          <t>建商負責人＋璞域企劃總監</t>
        </is>
      </c>
      <c r="F6" s="2" t="n"/>
      <c r="G6" s="2" t="n"/>
      <c r="H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0" customWidth="1" min="4" max="4"/>
    <col width="46" customWidth="1" min="5" max="5"/>
    <col width="14" customWidth="1" min="6" max="6"/>
    <col width="24" customWidth="1" min="7" max="7"/>
  </cols>
  <sheetData>
    <row r="1">
      <c r="A1" s="1" t="inlineStr">
        <is>
          <t>位置</t>
        </is>
      </c>
      <c r="B1" s="1" t="inlineStr">
        <is>
          <t>請照圖用途</t>
        </is>
      </c>
      <c r="C1" s="1" t="inlineStr">
        <is>
          <t>二工家配圖標示</t>
        </is>
      </c>
      <c r="D1" s="1" t="inlineStr">
        <is>
          <t>風險（評估）</t>
        </is>
      </c>
      <c r="E1" s="1" t="inlineStr">
        <is>
          <t>建議做法</t>
        </is>
      </c>
      <c r="F1" s="1" t="inlineStr">
        <is>
          <t>建築師確認</t>
        </is>
      </c>
      <c r="G1" s="1" t="inlineStr">
        <is>
          <t>處理結果</t>
        </is>
      </c>
    </row>
    <row r="2">
      <c r="A2" s="2" t="inlineStr">
        <is>
          <t>屋突一層</t>
        </is>
      </c>
      <c r="B2" s="2" t="inlineStr">
        <is>
          <t>樓梯間、屋頂平台</t>
        </is>
      </c>
      <c r="C2" s="2" t="inlineStr">
        <is>
          <t>交誼廳／媽媽教室、儲物間</t>
        </is>
      </c>
      <c r="D2" s="2" t="inlineStr">
        <is>
          <t>高</t>
        </is>
      </c>
      <c r="E2" s="2" t="inlineStr">
        <is>
          <t>不列入公設文宣；若要室內公設，先由建築師評估變更設計可行性</t>
        </is>
      </c>
      <c r="F2" s="2" t="n"/>
      <c r="G2" s="2" t="n"/>
    </row>
    <row r="3">
      <c r="A3" s="2" t="inlineStr">
        <is>
          <t>屋突二層</t>
        </is>
      </c>
      <c r="B3" s="2" t="inlineStr">
        <is>
          <t>設備空間</t>
        </is>
      </c>
      <c r="C3" s="2" t="inlineStr">
        <is>
          <t>視聽間／棋藝室、開放式健身房、廁所、儲物間</t>
        </is>
      </c>
      <c r="D3" s="2" t="inlineStr">
        <is>
          <t>高</t>
        </is>
      </c>
      <c r="E3" s="2" t="inlineStr">
        <is>
          <t>同上；健身機能可改放合法共用空間，或規劃為不加頂蓋的屋頂活動平台</t>
        </is>
      </c>
      <c r="F3" s="2" t="n"/>
      <c r="G3" s="2" t="n"/>
    </row>
    <row r="4">
      <c r="A4" s="2" t="inlineStr">
        <is>
          <t>1F</t>
        </is>
      </c>
      <c r="B4" s="2" t="inlineStr">
        <is>
          <t>管委會空間 72.36 ㎡</t>
        </is>
      </c>
      <c r="C4" s="2" t="inlineStr">
        <is>
          <t>接待大廳、包裹區</t>
        </is>
      </c>
      <c r="D4" s="2" t="inlineStr">
        <is>
          <t>低</t>
        </is>
      </c>
      <c r="E4" s="2" t="inlineStr">
        <is>
          <t>屬共用空間的使用安排；文宣並列法定用途「管委會空間」，由規約約定</t>
        </is>
      </c>
      <c r="F4" s="2" t="n"/>
      <c r="G4" s="2" t="n"/>
    </row>
    <row r="5">
      <c r="A5" s="2" t="inlineStr">
        <is>
          <t>1F</t>
        </is>
      </c>
      <c r="B5" s="2" t="inlineStr">
        <is>
          <t>停車空間周邊</t>
        </is>
      </c>
      <c r="C5" s="2" t="inlineStr">
        <is>
          <t>垃圾集中場</t>
        </is>
      </c>
      <c r="D5" s="2" t="inlineStr">
        <is>
          <t>中</t>
        </is>
      </c>
      <c r="E5" s="2" t="inlineStr">
        <is>
          <t>確認未占用法定車位、車道或法定空地；必要時納入正式設計</t>
        </is>
      </c>
      <c r="F5" s="2" t="n"/>
      <c r="G5" s="2" t="n"/>
    </row>
    <row r="6">
      <c r="A6" s="2" t="inlineStr">
        <is>
          <t>B1</t>
        </is>
      </c>
      <c r="B6" s="2" t="inlineStr">
        <is>
          <t>防空避難室兼停車空間、機房區</t>
        </is>
      </c>
      <c r="C6" s="2" t="inlineStr">
        <is>
          <t>洗衣間</t>
        </is>
      </c>
      <c r="D6" s="2" t="inlineStr">
        <is>
          <t>中</t>
        </is>
      </c>
      <c r="E6" s="2" t="inlineStr">
        <is>
          <t>防空避難範圍不宜固定隔間；改設合法空間或以設備區說明</t>
        </is>
      </c>
      <c r="F6" s="2" t="n"/>
      <c r="G6" s="2" t="n"/>
    </row>
    <row r="7">
      <c r="A7" s="2" t="inlineStr">
        <is>
          <t>2F</t>
        </is>
      </c>
      <c r="B7" s="2" t="inlineStr">
        <is>
          <t>露台（1F 停車層屋頂）</t>
        </is>
      </c>
      <c r="C7" s="2" t="inlineStr">
        <is>
          <t>開心農場（露台）</t>
        </is>
      </c>
      <c r="D7" s="2" t="inlineStr">
        <is>
          <t>低</t>
        </is>
      </c>
      <c r="E7" s="2" t="inlineStr">
        <is>
          <t>活動式植栽可行；不加蓋、不圍閉；荷重與防水由結構技師確認</t>
        </is>
      </c>
      <c r="F7" s="2" t="n"/>
      <c r="G7" s="2" t="n"/>
    </row>
    <row r="8">
      <c r="A8" s="2" t="inlineStr">
        <is>
          <t>3F–12F B2 戶</t>
        </is>
      </c>
      <c r="B8" s="2" t="inlineStr">
        <is>
          <t>以 × 標示之透空構架／遮陽</t>
        </is>
      </c>
      <c r="C8" s="2" t="inlineStr">
        <is>
          <t>陽台（設門可出入）</t>
        </is>
      </c>
      <c r="D8" s="2" t="inlineStr">
        <is>
          <t>中</t>
        </is>
      </c>
      <c r="E8" s="2" t="inlineStr">
        <is>
          <t>請建築師確認差異；對外平面不得將非陽台空間標為陽台或室內</t>
        </is>
      </c>
      <c r="F8" s="2" t="n"/>
      <c r="G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2026-10-27T05:50:33Z</dcterms:created>
  <dcterms:modified xmlns:dcterms="http://purl.org/dc/terms/" xmlns:xsi="http://www.w3.org/2001/XMLSchema-instance" xsi:type="dcterms:W3CDTF">2026-10-27T05:50:33Z</dcterms:modified>
</cp:coreProperties>
</file>